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M-5.2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3" customWidth="1" min="4" max="4"/>
    <col width="13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GLM-5.2 Usage Reconciliation — 2026-08-31</t>
        </is>
      </c>
    </row>
    <row r="3">
      <c r="A3" t="inlineStr">
        <is>
          <t>Dashboard values (2026-08-31, GLM-5.2 only):</t>
        </is>
      </c>
    </row>
    <row r="4">
      <c r="A4" t="inlineStr">
        <is>
          <t>Input Tokens:</t>
        </is>
      </c>
      <c r="B4" t="n">
        <v>9641472</v>
      </c>
    </row>
    <row r="5">
      <c r="A5" t="inlineStr">
        <is>
          <t>Output Tokens:</t>
        </is>
      </c>
      <c r="B5" t="n">
        <v>291655</v>
      </c>
    </row>
    <row r="7">
      <c r="A7" s="2" t="inlineStr">
        <is>
          <t>Project</t>
        </is>
      </c>
      <c r="B7" s="2" t="inlineStr">
        <is>
          <t>Sessions</t>
        </is>
      </c>
      <c r="C7" s="2" t="inlineStr">
        <is>
          <t>Turns</t>
        </is>
      </c>
      <c r="D7" s="2" t="inlineStr">
        <is>
          <t>Fresh input</t>
        </is>
      </c>
      <c r="E7" s="2" t="inlineStr">
        <is>
          <t>Cache read</t>
        </is>
      </c>
      <c r="F7" s="2" t="inlineStr">
        <is>
          <t>Cache write</t>
        </is>
      </c>
      <c r="G7" s="2" t="inlineStr">
        <is>
          <t>Input-equiv</t>
        </is>
      </c>
      <c r="H7" s="2" t="inlineStr">
        <is>
          <t>Output</t>
        </is>
      </c>
    </row>
    <row r="8">
      <c r="A8" t="inlineStr">
        <is>
          <t>cv-review</t>
        </is>
      </c>
      <c r="B8" s="3" t="n">
        <v>5</v>
      </c>
      <c r="C8" s="3" t="n">
        <v>168</v>
      </c>
      <c r="D8" s="3" t="n">
        <v>736524</v>
      </c>
      <c r="E8" s="3" t="n">
        <v>8008512</v>
      </c>
      <c r="F8" s="3" t="n">
        <v>0</v>
      </c>
      <c r="G8" s="3">
        <f>D8+E8+F8</f>
        <v/>
      </c>
      <c r="H8" s="3" t="n">
        <v>258559</v>
      </c>
    </row>
    <row r="9">
      <c r="A9" t="inlineStr">
        <is>
          <t>/tmp/tmp.DKh5He03Tb (git-repo)</t>
        </is>
      </c>
      <c r="B9" s="3" t="n">
        <v>7</v>
      </c>
      <c r="C9" s="3" t="n">
        <v>17</v>
      </c>
      <c r="D9" s="3" t="n">
        <v>8877</v>
      </c>
      <c r="E9" s="3" t="n">
        <v>135104</v>
      </c>
      <c r="F9" s="3" t="n">
        <v>0</v>
      </c>
      <c r="G9" s="3">
        <f>D9+E9+F9</f>
        <v/>
      </c>
      <c r="H9" s="3" t="n">
        <v>2140</v>
      </c>
    </row>
    <row r="10">
      <c r="A10" t="inlineStr">
        <is>
          <t>/tmp/tmp.D0044oF1Vz (git-repo)</t>
        </is>
      </c>
      <c r="B10" s="3" t="n">
        <v>7</v>
      </c>
      <c r="C10" s="3" t="n">
        <v>16</v>
      </c>
      <c r="D10" s="3" t="n">
        <v>680</v>
      </c>
      <c r="E10" s="3" t="n">
        <v>134016</v>
      </c>
      <c r="F10" s="3" t="n">
        <v>0</v>
      </c>
      <c r="G10" s="3">
        <f>D10+E10+F10</f>
        <v/>
      </c>
      <c r="H10" s="3" t="n">
        <v>1920</v>
      </c>
    </row>
    <row r="11">
      <c r="A11" t="inlineStr">
        <is>
          <t>/tmp/tmp.O8X9jZ4TKt (git-repo)</t>
        </is>
      </c>
      <c r="B11" s="3" t="n">
        <v>7</v>
      </c>
      <c r="C11" s="3" t="n">
        <v>15</v>
      </c>
      <c r="D11" s="3" t="n">
        <v>658</v>
      </c>
      <c r="E11" s="3" t="n">
        <v>125632</v>
      </c>
      <c r="F11" s="3" t="n">
        <v>0</v>
      </c>
      <c r="G11" s="3">
        <f>D11+E11+F11</f>
        <v/>
      </c>
      <c r="H11" s="3" t="n">
        <v>2141</v>
      </c>
    </row>
    <row r="12">
      <c r="A12" t="inlineStr">
        <is>
          <t>/tmp/tmp.qZuWt1TTbs (git-repo)</t>
        </is>
      </c>
      <c r="B12" s="3" t="n">
        <v>7</v>
      </c>
      <c r="C12" s="3" t="n">
        <v>15</v>
      </c>
      <c r="D12" s="3" t="n">
        <v>8230</v>
      </c>
      <c r="E12" s="3" t="n">
        <v>117632</v>
      </c>
      <c r="F12" s="3" t="n">
        <v>0</v>
      </c>
      <c r="G12" s="3">
        <f>D12+E12+F12</f>
        <v/>
      </c>
      <c r="H12" s="3" t="n">
        <v>1379</v>
      </c>
    </row>
    <row r="13">
      <c r="A13" t="inlineStr">
        <is>
          <t>~/.pi (root config sessions)</t>
        </is>
      </c>
      <c r="B13" s="3" t="n">
        <v>13</v>
      </c>
      <c r="C13" s="3" t="n">
        <v>17</v>
      </c>
      <c r="D13" s="3" t="n">
        <v>56745</v>
      </c>
      <c r="E13" s="3" t="n">
        <v>39104</v>
      </c>
      <c r="F13" s="3" t="n">
        <v>0</v>
      </c>
      <c r="G13" s="3">
        <f>D13+E13+F13</f>
        <v/>
      </c>
      <c r="H13" s="3" t="n">
        <v>9243</v>
      </c>
    </row>
    <row r="14">
      <c r="A14" t="inlineStr">
        <is>
          <t>/tmp/tmp.DKh5He03Tb (plain-dir)</t>
        </is>
      </c>
      <c r="B14" s="3" t="n">
        <v>1</v>
      </c>
      <c r="C14" s="3" t="n">
        <v>2</v>
      </c>
      <c r="D14" s="3" t="n">
        <v>101</v>
      </c>
      <c r="E14" s="3" t="n">
        <v>16640</v>
      </c>
      <c r="F14" s="3" t="n">
        <v>0</v>
      </c>
      <c r="G14" s="3">
        <f>D14+E14+F14</f>
        <v/>
      </c>
      <c r="H14" s="3" t="n">
        <v>60</v>
      </c>
    </row>
    <row r="15">
      <c r="A15" t="inlineStr">
        <is>
          <t>/tmp/tmp.qZuWt1TTbs (plain-dir)</t>
        </is>
      </c>
      <c r="B15" s="3" t="n">
        <v>1</v>
      </c>
      <c r="C15" s="3" t="n">
        <v>2</v>
      </c>
      <c r="D15" s="3" t="n">
        <v>98</v>
      </c>
      <c r="E15" s="3" t="n">
        <v>16640</v>
      </c>
      <c r="F15" s="3" t="n">
        <v>0</v>
      </c>
      <c r="G15" s="3">
        <f>D15+E15+F15</f>
        <v/>
      </c>
      <c r="H15" s="3" t="n">
        <v>61</v>
      </c>
    </row>
    <row r="16">
      <c r="A16" t="inlineStr">
        <is>
          <t>/tmp/tmp.O8X9jZ4TKt (plain-dir)</t>
        </is>
      </c>
      <c r="B16" s="3" t="n">
        <v>1</v>
      </c>
      <c r="C16" s="3" t="n">
        <v>2</v>
      </c>
      <c r="D16" s="3" t="n">
        <v>96</v>
      </c>
      <c r="E16" s="3" t="n">
        <v>16640</v>
      </c>
      <c r="F16" s="3" t="n">
        <v>0</v>
      </c>
      <c r="G16" s="3">
        <f>D16+E16+F16</f>
        <v/>
      </c>
      <c r="H16" s="3" t="n">
        <v>55</v>
      </c>
    </row>
    <row r="17">
      <c r="A17" t="inlineStr">
        <is>
          <t>/tmp/tmp.D0044oF1Vz (plain-dir)</t>
        </is>
      </c>
      <c r="B17" s="3" t="n">
        <v>1</v>
      </c>
      <c r="C17" s="3" t="n">
        <v>2</v>
      </c>
      <c r="D17" s="3" t="n">
        <v>96</v>
      </c>
      <c r="E17" s="3" t="n">
        <v>16640</v>
      </c>
      <c r="F17" s="3" t="n">
        <v>0</v>
      </c>
      <c r="G17" s="3">
        <f>D17+E17+F17</f>
        <v/>
      </c>
      <c r="H17" s="3" t="n">
        <v>52</v>
      </c>
    </row>
    <row r="18">
      <c r="A18" s="4" t="inlineStr">
        <is>
          <t>TOTAL (all projects, GLM-5.2)</t>
        </is>
      </c>
      <c r="B18" s="5">
        <f>SUM(B8:B17)</f>
        <v/>
      </c>
      <c r="C18" s="5">
        <f>SUM(C8:C17)</f>
        <v/>
      </c>
      <c r="D18" s="5">
        <f>SUM(D8:D17)</f>
        <v/>
      </c>
      <c r="E18" s="5">
        <f>SUM(E8:E17)</f>
        <v/>
      </c>
      <c r="F18" s="5">
        <f>SUM(F8:F17)</f>
        <v/>
      </c>
      <c r="G18" s="5">
        <f>SUM(G8:G17)</f>
        <v/>
      </c>
      <c r="H18" s="5">
        <f>SUM(H8:H17)</f>
        <v/>
      </c>
    </row>
    <row r="21">
      <c r="A21" s="6" t="inlineStr">
        <is>
          <t>Reconciliation vs. dashboard</t>
        </is>
      </c>
    </row>
    <row r="22">
      <c r="A22" s="7" t="inlineStr"/>
      <c r="B22" s="7" t="inlineStr">
        <is>
          <t>Input-equiv</t>
        </is>
      </c>
      <c r="C22" s="7" t="inlineStr">
        <is>
          <t>Output</t>
        </is>
      </c>
    </row>
    <row r="23">
      <c r="A23" t="inlineStr">
        <is>
          <t>Dashboard</t>
        </is>
      </c>
      <c r="B23" t="n">
        <v>9641472</v>
      </c>
      <c r="C23" t="n">
        <v>291655</v>
      </c>
    </row>
    <row r="24">
      <c r="A24" t="inlineStr">
        <is>
          <t>Raw session total (all projects)</t>
        </is>
      </c>
      <c r="B24">
        <f>G18</f>
        <v/>
      </c>
      <c r="C24">
        <f>H18</f>
        <v/>
      </c>
    </row>
    <row r="25">
      <c r="A25" s="4" t="inlineStr">
        <is>
          <t>Gap</t>
        </is>
      </c>
      <c r="B25" s="4">
        <f>B23-B24</f>
        <v/>
      </c>
      <c r="C25" s="4">
        <f>C23-C24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2026-09-01T08:08:44Z</dcterms:created>
  <dcterms:modified xsi:type="dcterms:W3CDTF">2026-09-01T08:08:44Z</dcterms:modified>
</cp:coreProperties>
</file>